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viendas visitadas" sheetId="1" state="visible" r:id="rId1"/>
    <sheet name="Revisión de la fo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</font>
    <font>
      <name val="Arial"/>
      <b val="1"/>
      <sz val="8"/>
    </font>
    <font>
      <name val="Arial"/>
      <color rgb="000000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164" fontId="3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9" fontId="5" fillId="0" borderId="1" pivotButton="0" quotePrefix="0" xfId="0"/>
    <xf numFmtId="164" fontId="6" fillId="0" borderId="1" pivotButton="0" quotePrefix="0" xfId="0"/>
    <xf numFmtId="0" fontId="5" fillId="0" borderId="1" pivotButton="0" quotePrefix="0" xfId="0"/>
    <xf numFmtId="9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ont>
        <name val="Arial"/>
        <b val="1"/>
        <color rgb="00C000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11" customWidth="1" min="14" max="14"/>
    <col width="8" customWidth="1" min="15" max="15"/>
    <col width="11" customWidth="1" min="16" max="16"/>
    <col width="8" customWidth="1" min="17" max="17"/>
    <col width="11" customWidth="1" min="18" max="18"/>
    <col width="8" customWidth="1" min="19" max="19"/>
    <col width="11" customWidth="1" min="20" max="20"/>
    <col width="8" customWidth="1" min="21" max="21"/>
    <col width="10" customWidth="1" min="22" max="22"/>
  </cols>
  <sheetData>
    <row r="1">
      <c r="A1" s="1" t="inlineStr">
        <is>
          <t>1. VIVIENDAS VISITADAS</t>
        </is>
      </c>
    </row>
    <row r="2">
      <c r="A2" s="2" t="inlineStr">
        <is>
          <t>Leyenda: celdas AMARILLAS (texto azul) = datos a llenar. Celdas blancas = fórmulas automáticas (no editar). Fila 7 = ejemplo con los datos de la foto.</t>
        </is>
      </c>
    </row>
    <row r="4">
      <c r="A4" s="3" t="inlineStr">
        <is>
          <t>DIRIS/DISTRITO/EE.SS</t>
        </is>
      </c>
      <c r="B4" s="3" t="inlineStr">
        <is>
          <t>EFECTIVIDAD DE INTERVENCIÓN SECTORES</t>
        </is>
      </c>
      <c r="C4" s="3" t="n"/>
      <c r="D4" s="3" t="n"/>
      <c r="E4" s="3" t="n"/>
      <c r="F4" s="3" t="inlineStr">
        <is>
          <t>EFECTIVIDAD DE INTERVENCIÓN CASAS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95" customHeight="1">
      <c r="A5" s="4" t="n"/>
      <c r="B5" s="4" t="inlineStr">
        <is>
          <t>N° SECTORES (TOTAL)</t>
        </is>
      </c>
      <c r="C5" s="4" t="inlineStr">
        <is>
          <t>N° SECTORES (INTERVENIDOS)</t>
        </is>
      </c>
      <c r="D5" s="4" t="inlineStr">
        <is>
          <t>% EFECTIVIDAD</t>
        </is>
      </c>
      <c r="E5" s="4" t="inlineStr">
        <is>
          <t>N° SECTORES (PENDIENTES)</t>
        </is>
      </c>
      <c r="F5" s="4" t="inlineStr">
        <is>
          <t>CASAS ABIERTAS CON NIÑOS ESQUEMA COMPLETO</t>
        </is>
      </c>
      <c r="G5" s="4" t="n"/>
      <c r="H5" s="4" t="inlineStr">
        <is>
          <t>CASA EFECTIVA (SE VACUNA AL NIÑO)</t>
        </is>
      </c>
      <c r="I5" s="4" t="n"/>
      <c r="J5" s="4" t="inlineStr">
        <is>
          <t>CASA ABIERTAS CON NIÑOS (la niña o niño han salido)</t>
        </is>
      </c>
      <c r="K5" s="4" t="n"/>
      <c r="L5" s="4" t="inlineStr">
        <is>
          <t>ABIERTAS SIN NIÑOS (casas donde viven solo adultos y no tienen niños)</t>
        </is>
      </c>
      <c r="M5" s="4" t="n"/>
      <c r="N5" s="4" t="inlineStr">
        <is>
          <t>CERRADA CON NIÑOS (vecinos refieren que hay niños)</t>
        </is>
      </c>
      <c r="O5" s="4" t="n"/>
      <c r="P5" s="4" t="inlineStr">
        <is>
          <t>CERRADA SIN NIÑOS (vecinos refieren que no hay niños)</t>
        </is>
      </c>
      <c r="Q5" s="4" t="n"/>
      <c r="R5" s="4" t="inlineStr">
        <is>
          <t>RECHAZADAS (donde los padres no aceptan la vacuna y tienen niños)</t>
        </is>
      </c>
      <c r="S5" s="4" t="n"/>
      <c r="T5" s="4" t="inlineStr">
        <is>
          <t>ABANDONADAS (casas donde nadie vive por más de 3 meses)</t>
        </is>
      </c>
      <c r="U5" s="4" t="n"/>
      <c r="V5" s="4" t="inlineStr">
        <is>
          <t>TOTAL DE CASAS</t>
        </is>
      </c>
    </row>
    <row r="6">
      <c r="A6" s="3" t="n"/>
      <c r="B6" s="3" t="n"/>
      <c r="C6" s="3" t="n"/>
      <c r="D6" s="3" t="n"/>
      <c r="E6" s="3" t="n"/>
      <c r="F6" s="3" t="inlineStr">
        <is>
          <t>N</t>
        </is>
      </c>
      <c r="G6" s="3" t="inlineStr">
        <is>
          <t>%</t>
        </is>
      </c>
      <c r="H6" s="3" t="inlineStr">
        <is>
          <t>N</t>
        </is>
      </c>
      <c r="I6" s="3" t="inlineStr">
        <is>
          <t>%</t>
        </is>
      </c>
      <c r="J6" s="3" t="inlineStr">
        <is>
          <t>N</t>
        </is>
      </c>
      <c r="K6" s="3" t="inlineStr">
        <is>
          <t>%</t>
        </is>
      </c>
      <c r="L6" s="3" t="inlineStr">
        <is>
          <t>N</t>
        </is>
      </c>
      <c r="M6" s="3" t="inlineStr">
        <is>
          <t>%</t>
        </is>
      </c>
      <c r="N6" s="3" t="inlineStr">
        <is>
          <t>N</t>
        </is>
      </c>
      <c r="O6" s="3" t="inlineStr">
        <is>
          <t>%</t>
        </is>
      </c>
      <c r="P6" s="3" t="inlineStr">
        <is>
          <t>N</t>
        </is>
      </c>
      <c r="Q6" s="3" t="inlineStr">
        <is>
          <t>%</t>
        </is>
      </c>
      <c r="R6" s="3" t="inlineStr">
        <is>
          <t>N</t>
        </is>
      </c>
      <c r="S6" s="3" t="inlineStr">
        <is>
          <t>%</t>
        </is>
      </c>
      <c r="T6" s="3" t="inlineStr">
        <is>
          <t>N</t>
        </is>
      </c>
      <c r="U6" s="3" t="inlineStr">
        <is>
          <t>%</t>
        </is>
      </c>
      <c r="V6" s="3" t="inlineStr">
        <is>
          <t>N</t>
        </is>
      </c>
    </row>
    <row r="7">
      <c r="A7" s="5" t="inlineStr">
        <is>
          <t>Ejemplo (foto)</t>
        </is>
      </c>
      <c r="B7" s="6" t="n">
        <v>15</v>
      </c>
      <c r="C7" s="6" t="n">
        <v>5</v>
      </c>
      <c r="D7" s="7">
        <f>IF(N(B7)=0,"",C7/B7)</f>
        <v/>
      </c>
      <c r="E7" s="8">
        <f>IF(B7="","",B7-C7)</f>
        <v/>
      </c>
      <c r="F7" s="6" t="n">
        <v>100</v>
      </c>
      <c r="G7" s="9">
        <f>IF(N($V7)=0,"",F7/$V7)</f>
        <v/>
      </c>
      <c r="H7" s="6" t="n">
        <v>40</v>
      </c>
      <c r="I7" s="9">
        <f>IF(N($V7)=0,"",H7/$V7)</f>
        <v/>
      </c>
      <c r="J7" s="6" t="n">
        <v>70</v>
      </c>
      <c r="K7" s="9">
        <f>IF(N($V7)=0,"",J7/$V7)</f>
        <v/>
      </c>
      <c r="L7" s="6" t="n">
        <v>250</v>
      </c>
      <c r="M7" s="9">
        <f>IF(N($V7)=0,"",L7/$V7)</f>
        <v/>
      </c>
      <c r="N7" s="6" t="n">
        <v>30</v>
      </c>
      <c r="O7" s="9">
        <f>IF(N($V7)=0,"",N7/$V7)</f>
        <v/>
      </c>
      <c r="P7" s="6" t="n">
        <v>20</v>
      </c>
      <c r="Q7" s="9">
        <f>IF(N($V7)=0,"",P7/$V7)</f>
        <v/>
      </c>
      <c r="R7" s="6" t="n">
        <v>8</v>
      </c>
      <c r="S7" s="9">
        <f>IF(N($V7)=0,"",R7/$V7)</f>
        <v/>
      </c>
      <c r="T7" s="6" t="n">
        <v>20</v>
      </c>
      <c r="U7" s="9">
        <f>IF(N($V7)=0,"",T7/$V7)</f>
        <v/>
      </c>
      <c r="V7" s="10">
        <f>F7+H7+J7+L7+N7+P7+R7+T7</f>
        <v/>
      </c>
    </row>
    <row r="8">
      <c r="A8" s="5" t="n"/>
      <c r="B8" s="6" t="n"/>
      <c r="C8" s="6" t="n"/>
      <c r="D8" s="7">
        <f>IF(N(B8)=0,"",C8/B8)</f>
        <v/>
      </c>
      <c r="E8" s="8">
        <f>IF(B8="","",B8-C8)</f>
        <v/>
      </c>
      <c r="F8" s="6" t="n"/>
      <c r="G8" s="9">
        <f>IF(N($V8)=0,"",F8/$V8)</f>
        <v/>
      </c>
      <c r="H8" s="6" t="n"/>
      <c r="I8" s="9">
        <f>IF(N($V8)=0,"",H8/$V8)</f>
        <v/>
      </c>
      <c r="J8" s="6" t="n"/>
      <c r="K8" s="9">
        <f>IF(N($V8)=0,"",J8/$V8)</f>
        <v/>
      </c>
      <c r="L8" s="6" t="n"/>
      <c r="M8" s="9">
        <f>IF(N($V8)=0,"",L8/$V8)</f>
        <v/>
      </c>
      <c r="N8" s="6" t="n"/>
      <c r="O8" s="9">
        <f>IF(N($V8)=0,"",N8/$V8)</f>
        <v/>
      </c>
      <c r="P8" s="6" t="n"/>
      <c r="Q8" s="9">
        <f>IF(N($V8)=0,"",P8/$V8)</f>
        <v/>
      </c>
      <c r="R8" s="6" t="n"/>
      <c r="S8" s="9">
        <f>IF(N($V8)=0,"",R8/$V8)</f>
        <v/>
      </c>
      <c r="T8" s="6" t="n"/>
      <c r="U8" s="9">
        <f>IF(N($V8)=0,"",T8/$V8)</f>
        <v/>
      </c>
      <c r="V8" s="10">
        <f>F8+H8+J8+L8+N8+P8+R8+T8</f>
        <v/>
      </c>
    </row>
    <row r="9">
      <c r="A9" s="5" t="n"/>
      <c r="B9" s="6" t="n"/>
      <c r="C9" s="6" t="n"/>
      <c r="D9" s="7">
        <f>IF(N(B9)=0,"",C9/B9)</f>
        <v/>
      </c>
      <c r="E9" s="8">
        <f>IF(B9="","",B9-C9)</f>
        <v/>
      </c>
      <c r="F9" s="6" t="n"/>
      <c r="G9" s="9">
        <f>IF(N($V9)=0,"",F9/$V9)</f>
        <v/>
      </c>
      <c r="H9" s="6" t="n"/>
      <c r="I9" s="9">
        <f>IF(N($V9)=0,"",H9/$V9)</f>
        <v/>
      </c>
      <c r="J9" s="6" t="n"/>
      <c r="K9" s="9">
        <f>IF(N($V9)=0,"",J9/$V9)</f>
        <v/>
      </c>
      <c r="L9" s="6" t="n"/>
      <c r="M9" s="9">
        <f>IF(N($V9)=0,"",L9/$V9)</f>
        <v/>
      </c>
      <c r="N9" s="6" t="n"/>
      <c r="O9" s="9">
        <f>IF(N($V9)=0,"",N9/$V9)</f>
        <v/>
      </c>
      <c r="P9" s="6" t="n"/>
      <c r="Q9" s="9">
        <f>IF(N($V9)=0,"",P9/$V9)</f>
        <v/>
      </c>
      <c r="R9" s="6" t="n"/>
      <c r="S9" s="9">
        <f>IF(N($V9)=0,"",R9/$V9)</f>
        <v/>
      </c>
      <c r="T9" s="6" t="n"/>
      <c r="U9" s="9">
        <f>IF(N($V9)=0,"",T9/$V9)</f>
        <v/>
      </c>
      <c r="V9" s="10">
        <f>F9+H9+J9+L9+N9+P9+R9+T9</f>
        <v/>
      </c>
    </row>
    <row r="10">
      <c r="A10" s="5" t="n"/>
      <c r="B10" s="6" t="n"/>
      <c r="C10" s="6" t="n"/>
      <c r="D10" s="7">
        <f>IF(N(B10)=0,"",C10/B10)</f>
        <v/>
      </c>
      <c r="E10" s="8">
        <f>IF(B10="","",B10-C10)</f>
        <v/>
      </c>
      <c r="F10" s="6" t="n"/>
      <c r="G10" s="9">
        <f>IF(N($V10)=0,"",F10/$V10)</f>
        <v/>
      </c>
      <c r="H10" s="6" t="n"/>
      <c r="I10" s="9">
        <f>IF(N($V10)=0,"",H10/$V10)</f>
        <v/>
      </c>
      <c r="J10" s="6" t="n"/>
      <c r="K10" s="9">
        <f>IF(N($V10)=0,"",J10/$V10)</f>
        <v/>
      </c>
      <c r="L10" s="6" t="n"/>
      <c r="M10" s="9">
        <f>IF(N($V10)=0,"",L10/$V10)</f>
        <v/>
      </c>
      <c r="N10" s="6" t="n"/>
      <c r="O10" s="9">
        <f>IF(N($V10)=0,"",N10/$V10)</f>
        <v/>
      </c>
      <c r="P10" s="6" t="n"/>
      <c r="Q10" s="9">
        <f>IF(N($V10)=0,"",P10/$V10)</f>
        <v/>
      </c>
      <c r="R10" s="6" t="n"/>
      <c r="S10" s="9">
        <f>IF(N($V10)=0,"",R10/$V10)</f>
        <v/>
      </c>
      <c r="T10" s="6" t="n"/>
      <c r="U10" s="9">
        <f>IF(N($V10)=0,"",T10/$V10)</f>
        <v/>
      </c>
      <c r="V10" s="10">
        <f>F10+H10+J10+L10+N10+P10+R10+T10</f>
        <v/>
      </c>
    </row>
    <row r="11">
      <c r="A11" s="5" t="n"/>
      <c r="B11" s="6" t="n"/>
      <c r="C11" s="6" t="n"/>
      <c r="D11" s="7">
        <f>IF(N(B11)=0,"",C11/B11)</f>
        <v/>
      </c>
      <c r="E11" s="8">
        <f>IF(B11="","",B11-C11)</f>
        <v/>
      </c>
      <c r="F11" s="6" t="n"/>
      <c r="G11" s="9">
        <f>IF(N($V11)=0,"",F11/$V11)</f>
        <v/>
      </c>
      <c r="H11" s="6" t="n"/>
      <c r="I11" s="9">
        <f>IF(N($V11)=0,"",H11/$V11)</f>
        <v/>
      </c>
      <c r="J11" s="6" t="n"/>
      <c r="K11" s="9">
        <f>IF(N($V11)=0,"",J11/$V11)</f>
        <v/>
      </c>
      <c r="L11" s="6" t="n"/>
      <c r="M11" s="9">
        <f>IF(N($V11)=0,"",L11/$V11)</f>
        <v/>
      </c>
      <c r="N11" s="6" t="n"/>
      <c r="O11" s="9">
        <f>IF(N($V11)=0,"",N11/$V11)</f>
        <v/>
      </c>
      <c r="P11" s="6" t="n"/>
      <c r="Q11" s="9">
        <f>IF(N($V11)=0,"",P11/$V11)</f>
        <v/>
      </c>
      <c r="R11" s="6" t="n"/>
      <c r="S11" s="9">
        <f>IF(N($V11)=0,"",R11/$V11)</f>
        <v/>
      </c>
      <c r="T11" s="6" t="n"/>
      <c r="U11" s="9">
        <f>IF(N($V11)=0,"",T11/$V11)</f>
        <v/>
      </c>
      <c r="V11" s="10">
        <f>F11+H11+J11+L11+N11+P11+R11+T11</f>
        <v/>
      </c>
    </row>
    <row r="12">
      <c r="A12" s="5" t="n"/>
      <c r="B12" s="6" t="n"/>
      <c r="C12" s="6" t="n"/>
      <c r="D12" s="7">
        <f>IF(N(B12)=0,"",C12/B12)</f>
        <v/>
      </c>
      <c r="E12" s="8">
        <f>IF(B12="","",B12-C12)</f>
        <v/>
      </c>
      <c r="F12" s="6" t="n"/>
      <c r="G12" s="9">
        <f>IF(N($V12)=0,"",F12/$V12)</f>
        <v/>
      </c>
      <c r="H12" s="6" t="n"/>
      <c r="I12" s="9">
        <f>IF(N($V12)=0,"",H12/$V12)</f>
        <v/>
      </c>
      <c r="J12" s="6" t="n"/>
      <c r="K12" s="9">
        <f>IF(N($V12)=0,"",J12/$V12)</f>
        <v/>
      </c>
      <c r="L12" s="6" t="n"/>
      <c r="M12" s="9">
        <f>IF(N($V12)=0,"",L12/$V12)</f>
        <v/>
      </c>
      <c r="N12" s="6" t="n"/>
      <c r="O12" s="9">
        <f>IF(N($V12)=0,"",N12/$V12)</f>
        <v/>
      </c>
      <c r="P12" s="6" t="n"/>
      <c r="Q12" s="9">
        <f>IF(N($V12)=0,"",P12/$V12)</f>
        <v/>
      </c>
      <c r="R12" s="6" t="n"/>
      <c r="S12" s="9">
        <f>IF(N($V12)=0,"",R12/$V12)</f>
        <v/>
      </c>
      <c r="T12" s="6" t="n"/>
      <c r="U12" s="9">
        <f>IF(N($V12)=0,"",T12/$V12)</f>
        <v/>
      </c>
      <c r="V12" s="10">
        <f>F12+H12+J12+L12+N12+P12+R12+T12</f>
        <v/>
      </c>
    </row>
    <row r="13">
      <c r="A13" s="5" t="n"/>
      <c r="B13" s="6" t="n"/>
      <c r="C13" s="6" t="n"/>
      <c r="D13" s="7">
        <f>IF(N(B13)=0,"",C13/B13)</f>
        <v/>
      </c>
      <c r="E13" s="8">
        <f>IF(B13="","",B13-C13)</f>
        <v/>
      </c>
      <c r="F13" s="6" t="n"/>
      <c r="G13" s="9">
        <f>IF(N($V13)=0,"",F13/$V13)</f>
        <v/>
      </c>
      <c r="H13" s="6" t="n"/>
      <c r="I13" s="9">
        <f>IF(N($V13)=0,"",H13/$V13)</f>
        <v/>
      </c>
      <c r="J13" s="6" t="n"/>
      <c r="K13" s="9">
        <f>IF(N($V13)=0,"",J13/$V13)</f>
        <v/>
      </c>
      <c r="L13" s="6" t="n"/>
      <c r="M13" s="9">
        <f>IF(N($V13)=0,"",L13/$V13)</f>
        <v/>
      </c>
      <c r="N13" s="6" t="n"/>
      <c r="O13" s="9">
        <f>IF(N($V13)=0,"",N13/$V13)</f>
        <v/>
      </c>
      <c r="P13" s="6" t="n"/>
      <c r="Q13" s="9">
        <f>IF(N($V13)=0,"",P13/$V13)</f>
        <v/>
      </c>
      <c r="R13" s="6" t="n"/>
      <c r="S13" s="9">
        <f>IF(N($V13)=0,"",R13/$V13)</f>
        <v/>
      </c>
      <c r="T13" s="6" t="n"/>
      <c r="U13" s="9">
        <f>IF(N($V13)=0,"",T13/$V13)</f>
        <v/>
      </c>
      <c r="V13" s="10">
        <f>F13+H13+J13+L13+N13+P13+R13+T13</f>
        <v/>
      </c>
    </row>
    <row r="14">
      <c r="A14" s="5" t="n"/>
      <c r="B14" s="6" t="n"/>
      <c r="C14" s="6" t="n"/>
      <c r="D14" s="7">
        <f>IF(N(B14)=0,"",C14/B14)</f>
        <v/>
      </c>
      <c r="E14" s="8">
        <f>IF(B14="","",B14-C14)</f>
        <v/>
      </c>
      <c r="F14" s="6" t="n"/>
      <c r="G14" s="9">
        <f>IF(N($V14)=0,"",F14/$V14)</f>
        <v/>
      </c>
      <c r="H14" s="6" t="n"/>
      <c r="I14" s="9">
        <f>IF(N($V14)=0,"",H14/$V14)</f>
        <v/>
      </c>
      <c r="J14" s="6" t="n"/>
      <c r="K14" s="9">
        <f>IF(N($V14)=0,"",J14/$V14)</f>
        <v/>
      </c>
      <c r="L14" s="6" t="n"/>
      <c r="M14" s="9">
        <f>IF(N($V14)=0,"",L14/$V14)</f>
        <v/>
      </c>
      <c r="N14" s="6" t="n"/>
      <c r="O14" s="9">
        <f>IF(N($V14)=0,"",N14/$V14)</f>
        <v/>
      </c>
      <c r="P14" s="6" t="n"/>
      <c r="Q14" s="9">
        <f>IF(N($V14)=0,"",P14/$V14)</f>
        <v/>
      </c>
      <c r="R14" s="6" t="n"/>
      <c r="S14" s="9">
        <f>IF(N($V14)=0,"",R14/$V14)</f>
        <v/>
      </c>
      <c r="T14" s="6" t="n"/>
      <c r="U14" s="9">
        <f>IF(N($V14)=0,"",T14/$V14)</f>
        <v/>
      </c>
      <c r="V14" s="10">
        <f>F14+H14+J14+L14+N14+P14+R14+T14</f>
        <v/>
      </c>
    </row>
    <row r="15">
      <c r="A15" s="5" t="n"/>
      <c r="B15" s="6" t="n"/>
      <c r="C15" s="6" t="n"/>
      <c r="D15" s="7">
        <f>IF(N(B15)=0,"",C15/B15)</f>
        <v/>
      </c>
      <c r="E15" s="8">
        <f>IF(B15="","",B15-C15)</f>
        <v/>
      </c>
      <c r="F15" s="6" t="n"/>
      <c r="G15" s="9">
        <f>IF(N($V15)=0,"",F15/$V15)</f>
        <v/>
      </c>
      <c r="H15" s="6" t="n"/>
      <c r="I15" s="9">
        <f>IF(N($V15)=0,"",H15/$V15)</f>
        <v/>
      </c>
      <c r="J15" s="6" t="n"/>
      <c r="K15" s="9">
        <f>IF(N($V15)=0,"",J15/$V15)</f>
        <v/>
      </c>
      <c r="L15" s="6" t="n"/>
      <c r="M15" s="9">
        <f>IF(N($V15)=0,"",L15/$V15)</f>
        <v/>
      </c>
      <c r="N15" s="6" t="n"/>
      <c r="O15" s="9">
        <f>IF(N($V15)=0,"",N15/$V15)</f>
        <v/>
      </c>
      <c r="P15" s="6" t="n"/>
      <c r="Q15" s="9">
        <f>IF(N($V15)=0,"",P15/$V15)</f>
        <v/>
      </c>
      <c r="R15" s="6" t="n"/>
      <c r="S15" s="9">
        <f>IF(N($V15)=0,"",R15/$V15)</f>
        <v/>
      </c>
      <c r="T15" s="6" t="n"/>
      <c r="U15" s="9">
        <f>IF(N($V15)=0,"",T15/$V15)</f>
        <v/>
      </c>
      <c r="V15" s="10">
        <f>F15+H15+J15+L15+N15+P15+R15+T15</f>
        <v/>
      </c>
    </row>
    <row r="16">
      <c r="A16" s="5" t="n"/>
      <c r="B16" s="6" t="n"/>
      <c r="C16" s="6" t="n"/>
      <c r="D16" s="7">
        <f>IF(N(B16)=0,"",C16/B16)</f>
        <v/>
      </c>
      <c r="E16" s="8">
        <f>IF(B16="","",B16-C16)</f>
        <v/>
      </c>
      <c r="F16" s="6" t="n"/>
      <c r="G16" s="9">
        <f>IF(N($V16)=0,"",F16/$V16)</f>
        <v/>
      </c>
      <c r="H16" s="6" t="n"/>
      <c r="I16" s="9">
        <f>IF(N($V16)=0,"",H16/$V16)</f>
        <v/>
      </c>
      <c r="J16" s="6" t="n"/>
      <c r="K16" s="9">
        <f>IF(N($V16)=0,"",J16/$V16)</f>
        <v/>
      </c>
      <c r="L16" s="6" t="n"/>
      <c r="M16" s="9">
        <f>IF(N($V16)=0,"",L16/$V16)</f>
        <v/>
      </c>
      <c r="N16" s="6" t="n"/>
      <c r="O16" s="9">
        <f>IF(N($V16)=0,"",N16/$V16)</f>
        <v/>
      </c>
      <c r="P16" s="6" t="n"/>
      <c r="Q16" s="9">
        <f>IF(N($V16)=0,"",P16/$V16)</f>
        <v/>
      </c>
      <c r="R16" s="6" t="n"/>
      <c r="S16" s="9">
        <f>IF(N($V16)=0,"",R16/$V16)</f>
        <v/>
      </c>
      <c r="T16" s="6" t="n"/>
      <c r="U16" s="9">
        <f>IF(N($V16)=0,"",T16/$V16)</f>
        <v/>
      </c>
      <c r="V16" s="10">
        <f>F16+H16+J16+L16+N16+P16+R16+T16</f>
        <v/>
      </c>
    </row>
    <row r="17">
      <c r="A17" s="5" t="n"/>
      <c r="B17" s="6" t="n"/>
      <c r="C17" s="6" t="n"/>
      <c r="D17" s="7">
        <f>IF(N(B17)=0,"",C17/B17)</f>
        <v/>
      </c>
      <c r="E17" s="8">
        <f>IF(B17="","",B17-C17)</f>
        <v/>
      </c>
      <c r="F17" s="6" t="n"/>
      <c r="G17" s="9">
        <f>IF(N($V17)=0,"",F17/$V17)</f>
        <v/>
      </c>
      <c r="H17" s="6" t="n"/>
      <c r="I17" s="9">
        <f>IF(N($V17)=0,"",H17/$V17)</f>
        <v/>
      </c>
      <c r="J17" s="6" t="n"/>
      <c r="K17" s="9">
        <f>IF(N($V17)=0,"",J17/$V17)</f>
        <v/>
      </c>
      <c r="L17" s="6" t="n"/>
      <c r="M17" s="9">
        <f>IF(N($V17)=0,"",L17/$V17)</f>
        <v/>
      </c>
      <c r="N17" s="6" t="n"/>
      <c r="O17" s="9">
        <f>IF(N($V17)=0,"",N17/$V17)</f>
        <v/>
      </c>
      <c r="P17" s="6" t="n"/>
      <c r="Q17" s="9">
        <f>IF(N($V17)=0,"",P17/$V17)</f>
        <v/>
      </c>
      <c r="R17" s="6" t="n"/>
      <c r="S17" s="9">
        <f>IF(N($V17)=0,"",R17/$V17)</f>
        <v/>
      </c>
      <c r="T17" s="6" t="n"/>
      <c r="U17" s="9">
        <f>IF(N($V17)=0,"",T17/$V17)</f>
        <v/>
      </c>
      <c r="V17" s="10">
        <f>F17+H17+J17+L17+N17+P17+R17+T17</f>
        <v/>
      </c>
    </row>
    <row r="18">
      <c r="A18" s="5" t="n"/>
      <c r="B18" s="6" t="n"/>
      <c r="C18" s="6" t="n"/>
      <c r="D18" s="7">
        <f>IF(N(B18)=0,"",C18/B18)</f>
        <v/>
      </c>
      <c r="E18" s="8">
        <f>IF(B18="","",B18-C18)</f>
        <v/>
      </c>
      <c r="F18" s="6" t="n"/>
      <c r="G18" s="9">
        <f>IF(N($V18)=0,"",F18/$V18)</f>
        <v/>
      </c>
      <c r="H18" s="6" t="n"/>
      <c r="I18" s="9">
        <f>IF(N($V18)=0,"",H18/$V18)</f>
        <v/>
      </c>
      <c r="J18" s="6" t="n"/>
      <c r="K18" s="9">
        <f>IF(N($V18)=0,"",J18/$V18)</f>
        <v/>
      </c>
      <c r="L18" s="6" t="n"/>
      <c r="M18" s="9">
        <f>IF(N($V18)=0,"",L18/$V18)</f>
        <v/>
      </c>
      <c r="N18" s="6" t="n"/>
      <c r="O18" s="9">
        <f>IF(N($V18)=0,"",N18/$V18)</f>
        <v/>
      </c>
      <c r="P18" s="6" t="n"/>
      <c r="Q18" s="9">
        <f>IF(N($V18)=0,"",P18/$V18)</f>
        <v/>
      </c>
      <c r="R18" s="6" t="n"/>
      <c r="S18" s="9">
        <f>IF(N($V18)=0,"",R18/$V18)</f>
        <v/>
      </c>
      <c r="T18" s="6" t="n"/>
      <c r="U18" s="9">
        <f>IF(N($V18)=0,"",T18/$V18)</f>
        <v/>
      </c>
      <c r="V18" s="10">
        <f>F18+H18+J18+L18+N18+P18+R18+T18</f>
        <v/>
      </c>
    </row>
    <row r="19">
      <c r="A19" s="5" t="n"/>
      <c r="B19" s="6" t="n"/>
      <c r="C19" s="6" t="n"/>
      <c r="D19" s="7">
        <f>IF(N(B19)=0,"",C19/B19)</f>
        <v/>
      </c>
      <c r="E19" s="8">
        <f>IF(B19="","",B19-C19)</f>
        <v/>
      </c>
      <c r="F19" s="6" t="n"/>
      <c r="G19" s="9">
        <f>IF(N($V19)=0,"",F19/$V19)</f>
        <v/>
      </c>
      <c r="H19" s="6" t="n"/>
      <c r="I19" s="9">
        <f>IF(N($V19)=0,"",H19/$V19)</f>
        <v/>
      </c>
      <c r="J19" s="6" t="n"/>
      <c r="K19" s="9">
        <f>IF(N($V19)=0,"",J19/$V19)</f>
        <v/>
      </c>
      <c r="L19" s="6" t="n"/>
      <c r="M19" s="9">
        <f>IF(N($V19)=0,"",L19/$V19)</f>
        <v/>
      </c>
      <c r="N19" s="6" t="n"/>
      <c r="O19" s="9">
        <f>IF(N($V19)=0,"",N19/$V19)</f>
        <v/>
      </c>
      <c r="P19" s="6" t="n"/>
      <c r="Q19" s="9">
        <f>IF(N($V19)=0,"",P19/$V19)</f>
        <v/>
      </c>
      <c r="R19" s="6" t="n"/>
      <c r="S19" s="9">
        <f>IF(N($V19)=0,"",R19/$V19)</f>
        <v/>
      </c>
      <c r="T19" s="6" t="n"/>
      <c r="U19" s="9">
        <f>IF(N($V19)=0,"",T19/$V19)</f>
        <v/>
      </c>
      <c r="V19" s="10">
        <f>F19+H19+J19+L19+N19+P19+R19+T19</f>
        <v/>
      </c>
    </row>
    <row r="20">
      <c r="A20" s="5" t="n"/>
      <c r="B20" s="6" t="n"/>
      <c r="C20" s="6" t="n"/>
      <c r="D20" s="7">
        <f>IF(N(B20)=0,"",C20/B20)</f>
        <v/>
      </c>
      <c r="E20" s="8">
        <f>IF(B20="","",B20-C20)</f>
        <v/>
      </c>
      <c r="F20" s="6" t="n"/>
      <c r="G20" s="9">
        <f>IF(N($V20)=0,"",F20/$V20)</f>
        <v/>
      </c>
      <c r="H20" s="6" t="n"/>
      <c r="I20" s="9">
        <f>IF(N($V20)=0,"",H20/$V20)</f>
        <v/>
      </c>
      <c r="J20" s="6" t="n"/>
      <c r="K20" s="9">
        <f>IF(N($V20)=0,"",J20/$V20)</f>
        <v/>
      </c>
      <c r="L20" s="6" t="n"/>
      <c r="M20" s="9">
        <f>IF(N($V20)=0,"",L20/$V20)</f>
        <v/>
      </c>
      <c r="N20" s="6" t="n"/>
      <c r="O20" s="9">
        <f>IF(N($V20)=0,"",N20/$V20)</f>
        <v/>
      </c>
      <c r="P20" s="6" t="n"/>
      <c r="Q20" s="9">
        <f>IF(N($V20)=0,"",P20/$V20)</f>
        <v/>
      </c>
      <c r="R20" s="6" t="n"/>
      <c r="S20" s="9">
        <f>IF(N($V20)=0,"",R20/$V20)</f>
        <v/>
      </c>
      <c r="T20" s="6" t="n"/>
      <c r="U20" s="9">
        <f>IF(N($V20)=0,"",T20/$V20)</f>
        <v/>
      </c>
      <c r="V20" s="10">
        <f>F20+H20+J20+L20+N20+P20+R20+T20</f>
        <v/>
      </c>
    </row>
    <row r="21">
      <c r="A21" s="5" t="n"/>
      <c r="B21" s="6" t="n"/>
      <c r="C21" s="6" t="n"/>
      <c r="D21" s="7">
        <f>IF(N(B21)=0,"",C21/B21)</f>
        <v/>
      </c>
      <c r="E21" s="8">
        <f>IF(B21="","",B21-C21)</f>
        <v/>
      </c>
      <c r="F21" s="6" t="n"/>
      <c r="G21" s="9">
        <f>IF(N($V21)=0,"",F21/$V21)</f>
        <v/>
      </c>
      <c r="H21" s="6" t="n"/>
      <c r="I21" s="9">
        <f>IF(N($V21)=0,"",H21/$V21)</f>
        <v/>
      </c>
      <c r="J21" s="6" t="n"/>
      <c r="K21" s="9">
        <f>IF(N($V21)=0,"",J21/$V21)</f>
        <v/>
      </c>
      <c r="L21" s="6" t="n"/>
      <c r="M21" s="9">
        <f>IF(N($V21)=0,"",L21/$V21)</f>
        <v/>
      </c>
      <c r="N21" s="6" t="n"/>
      <c r="O21" s="9">
        <f>IF(N($V21)=0,"",N21/$V21)</f>
        <v/>
      </c>
      <c r="P21" s="6" t="n"/>
      <c r="Q21" s="9">
        <f>IF(N($V21)=0,"",P21/$V21)</f>
        <v/>
      </c>
      <c r="R21" s="6" t="n"/>
      <c r="S21" s="9">
        <f>IF(N($V21)=0,"",R21/$V21)</f>
        <v/>
      </c>
      <c r="T21" s="6" t="n"/>
      <c r="U21" s="9">
        <f>IF(N($V21)=0,"",T21/$V21)</f>
        <v/>
      </c>
      <c r="V21" s="10">
        <f>F21+H21+J21+L21+N21+P21+R21+T21</f>
        <v/>
      </c>
    </row>
    <row r="22">
      <c r="A22" s="5" t="n"/>
      <c r="B22" s="6" t="n"/>
      <c r="C22" s="6" t="n"/>
      <c r="D22" s="7">
        <f>IF(N(B22)=0,"",C22/B22)</f>
        <v/>
      </c>
      <c r="E22" s="8">
        <f>IF(B22="","",B22-C22)</f>
        <v/>
      </c>
      <c r="F22" s="6" t="n"/>
      <c r="G22" s="9">
        <f>IF(N($V22)=0,"",F22/$V22)</f>
        <v/>
      </c>
      <c r="H22" s="6" t="n"/>
      <c r="I22" s="9">
        <f>IF(N($V22)=0,"",H22/$V22)</f>
        <v/>
      </c>
      <c r="J22" s="6" t="n"/>
      <c r="K22" s="9">
        <f>IF(N($V22)=0,"",J22/$V22)</f>
        <v/>
      </c>
      <c r="L22" s="6" t="n"/>
      <c r="M22" s="9">
        <f>IF(N($V22)=0,"",L22/$V22)</f>
        <v/>
      </c>
      <c r="N22" s="6" t="n"/>
      <c r="O22" s="9">
        <f>IF(N($V22)=0,"",N22/$V22)</f>
        <v/>
      </c>
      <c r="P22" s="6" t="n"/>
      <c r="Q22" s="9">
        <f>IF(N($V22)=0,"",P22/$V22)</f>
        <v/>
      </c>
      <c r="R22" s="6" t="n"/>
      <c r="S22" s="9">
        <f>IF(N($V22)=0,"",R22/$V22)</f>
        <v/>
      </c>
      <c r="T22" s="6" t="n"/>
      <c r="U22" s="9">
        <f>IF(N($V22)=0,"",T22/$V22)</f>
        <v/>
      </c>
      <c r="V22" s="10">
        <f>F22+H22+J22+L22+N22+P22+R22+T22</f>
        <v/>
      </c>
    </row>
    <row r="23">
      <c r="A23" s="5" t="n"/>
      <c r="B23" s="6" t="n"/>
      <c r="C23" s="6" t="n"/>
      <c r="D23" s="7">
        <f>IF(N(B23)=0,"",C23/B23)</f>
        <v/>
      </c>
      <c r="E23" s="8">
        <f>IF(B23="","",B23-C23)</f>
        <v/>
      </c>
      <c r="F23" s="6" t="n"/>
      <c r="G23" s="9">
        <f>IF(N($V23)=0,"",F23/$V23)</f>
        <v/>
      </c>
      <c r="H23" s="6" t="n"/>
      <c r="I23" s="9">
        <f>IF(N($V23)=0,"",H23/$V23)</f>
        <v/>
      </c>
      <c r="J23" s="6" t="n"/>
      <c r="K23" s="9">
        <f>IF(N($V23)=0,"",J23/$V23)</f>
        <v/>
      </c>
      <c r="L23" s="6" t="n"/>
      <c r="M23" s="9">
        <f>IF(N($V23)=0,"",L23/$V23)</f>
        <v/>
      </c>
      <c r="N23" s="6" t="n"/>
      <c r="O23" s="9">
        <f>IF(N($V23)=0,"",N23/$V23)</f>
        <v/>
      </c>
      <c r="P23" s="6" t="n"/>
      <c r="Q23" s="9">
        <f>IF(N($V23)=0,"",P23/$V23)</f>
        <v/>
      </c>
      <c r="R23" s="6" t="n"/>
      <c r="S23" s="9">
        <f>IF(N($V23)=0,"",R23/$V23)</f>
        <v/>
      </c>
      <c r="T23" s="6" t="n"/>
      <c r="U23" s="9">
        <f>IF(N($V23)=0,"",T23/$V23)</f>
        <v/>
      </c>
      <c r="V23" s="10">
        <f>F23+H23+J23+L23+N23+P23+R23+T23</f>
        <v/>
      </c>
    </row>
    <row r="24">
      <c r="A24" s="5" t="n"/>
      <c r="B24" s="6" t="n"/>
      <c r="C24" s="6" t="n"/>
      <c r="D24" s="7">
        <f>IF(N(B24)=0,"",C24/B24)</f>
        <v/>
      </c>
      <c r="E24" s="8">
        <f>IF(B24="","",B24-C24)</f>
        <v/>
      </c>
      <c r="F24" s="6" t="n"/>
      <c r="G24" s="9">
        <f>IF(N($V24)=0,"",F24/$V24)</f>
        <v/>
      </c>
      <c r="H24" s="6" t="n"/>
      <c r="I24" s="9">
        <f>IF(N($V24)=0,"",H24/$V24)</f>
        <v/>
      </c>
      <c r="J24" s="6" t="n"/>
      <c r="K24" s="9">
        <f>IF(N($V24)=0,"",J24/$V24)</f>
        <v/>
      </c>
      <c r="L24" s="6" t="n"/>
      <c r="M24" s="9">
        <f>IF(N($V24)=0,"",L24/$V24)</f>
        <v/>
      </c>
      <c r="N24" s="6" t="n"/>
      <c r="O24" s="9">
        <f>IF(N($V24)=0,"",N24/$V24)</f>
        <v/>
      </c>
      <c r="P24" s="6" t="n"/>
      <c r="Q24" s="9">
        <f>IF(N($V24)=0,"",P24/$V24)</f>
        <v/>
      </c>
      <c r="R24" s="6" t="n"/>
      <c r="S24" s="9">
        <f>IF(N($V24)=0,"",R24/$V24)</f>
        <v/>
      </c>
      <c r="T24" s="6" t="n"/>
      <c r="U24" s="9">
        <f>IF(N($V24)=0,"",T24/$V24)</f>
        <v/>
      </c>
      <c r="V24" s="10">
        <f>F24+H24+J24+L24+N24+P24+R24+T24</f>
        <v/>
      </c>
    </row>
    <row r="25">
      <c r="A25" s="5" t="n"/>
      <c r="B25" s="6" t="n"/>
      <c r="C25" s="6" t="n"/>
      <c r="D25" s="7">
        <f>IF(N(B25)=0,"",C25/B25)</f>
        <v/>
      </c>
      <c r="E25" s="8">
        <f>IF(B25="","",B25-C25)</f>
        <v/>
      </c>
      <c r="F25" s="6" t="n"/>
      <c r="G25" s="9">
        <f>IF(N($V25)=0,"",F25/$V25)</f>
        <v/>
      </c>
      <c r="H25" s="6" t="n"/>
      <c r="I25" s="9">
        <f>IF(N($V25)=0,"",H25/$V25)</f>
        <v/>
      </c>
      <c r="J25" s="6" t="n"/>
      <c r="K25" s="9">
        <f>IF(N($V25)=0,"",J25/$V25)</f>
        <v/>
      </c>
      <c r="L25" s="6" t="n"/>
      <c r="M25" s="9">
        <f>IF(N($V25)=0,"",L25/$V25)</f>
        <v/>
      </c>
      <c r="N25" s="6" t="n"/>
      <c r="O25" s="9">
        <f>IF(N($V25)=0,"",N25/$V25)</f>
        <v/>
      </c>
      <c r="P25" s="6" t="n"/>
      <c r="Q25" s="9">
        <f>IF(N($V25)=0,"",P25/$V25)</f>
        <v/>
      </c>
      <c r="R25" s="6" t="n"/>
      <c r="S25" s="9">
        <f>IF(N($V25)=0,"",R25/$V25)</f>
        <v/>
      </c>
      <c r="T25" s="6" t="n"/>
      <c r="U25" s="9">
        <f>IF(N($V25)=0,"",T25/$V25)</f>
        <v/>
      </c>
      <c r="V25" s="10">
        <f>F25+H25+J25+L25+N25+P25+R25+T25</f>
        <v/>
      </c>
    </row>
    <row r="26">
      <c r="A26" s="5" t="n"/>
      <c r="B26" s="6" t="n"/>
      <c r="C26" s="6" t="n"/>
      <c r="D26" s="7">
        <f>IF(N(B26)=0,"",C26/B26)</f>
        <v/>
      </c>
      <c r="E26" s="8">
        <f>IF(B26="","",B26-C26)</f>
        <v/>
      </c>
      <c r="F26" s="6" t="n"/>
      <c r="G26" s="9">
        <f>IF(N($V26)=0,"",F26/$V26)</f>
        <v/>
      </c>
      <c r="H26" s="6" t="n"/>
      <c r="I26" s="9">
        <f>IF(N($V26)=0,"",H26/$V26)</f>
        <v/>
      </c>
      <c r="J26" s="6" t="n"/>
      <c r="K26" s="9">
        <f>IF(N($V26)=0,"",J26/$V26)</f>
        <v/>
      </c>
      <c r="L26" s="6" t="n"/>
      <c r="M26" s="9">
        <f>IF(N($V26)=0,"",L26/$V26)</f>
        <v/>
      </c>
      <c r="N26" s="6" t="n"/>
      <c r="O26" s="9">
        <f>IF(N($V26)=0,"",N26/$V26)</f>
        <v/>
      </c>
      <c r="P26" s="6" t="n"/>
      <c r="Q26" s="9">
        <f>IF(N($V26)=0,"",P26/$V26)</f>
        <v/>
      </c>
      <c r="R26" s="6" t="n"/>
      <c r="S26" s="9">
        <f>IF(N($V26)=0,"",R26/$V26)</f>
        <v/>
      </c>
      <c r="T26" s="6" t="n"/>
      <c r="U26" s="9">
        <f>IF(N($V26)=0,"",T26/$V26)</f>
        <v/>
      </c>
      <c r="V26" s="10">
        <f>F26+H26+J26+L26+N26+P26+R26+T26</f>
        <v/>
      </c>
    </row>
    <row r="27">
      <c r="A27" s="3" t="inlineStr">
        <is>
          <t>TOTAL</t>
        </is>
      </c>
      <c r="B27" s="3">
        <f>SUM(B7:B26)</f>
        <v/>
      </c>
      <c r="C27" s="3">
        <f>SUM(C7:C26)</f>
        <v/>
      </c>
      <c r="D27" s="11">
        <f>IF(B27=0,"",C27/B27)</f>
        <v/>
      </c>
      <c r="E27" s="3">
        <f>SUM(E7:E26)</f>
        <v/>
      </c>
      <c r="F27" s="3">
        <f>SUM(F7:F26)</f>
        <v/>
      </c>
      <c r="G27" s="11">
        <f>IF(V27=0,"",F27/V27)</f>
        <v/>
      </c>
      <c r="H27" s="3">
        <f>SUM(H7:H26)</f>
        <v/>
      </c>
      <c r="I27" s="11">
        <f>IF(V27=0,"",H27/V27)</f>
        <v/>
      </c>
      <c r="J27" s="3">
        <f>SUM(J7:J26)</f>
        <v/>
      </c>
      <c r="K27" s="11">
        <f>IF(V27=0,"",J27/V27)</f>
        <v/>
      </c>
      <c r="L27" s="3">
        <f>SUM(L7:L26)</f>
        <v/>
      </c>
      <c r="M27" s="11">
        <f>IF(V27=0,"",L27/V27)</f>
        <v/>
      </c>
      <c r="N27" s="3">
        <f>SUM(N7:N26)</f>
        <v/>
      </c>
      <c r="O27" s="11">
        <f>IF(V27=0,"",N27/V27)</f>
        <v/>
      </c>
      <c r="P27" s="3">
        <f>SUM(P7:P26)</f>
        <v/>
      </c>
      <c r="Q27" s="11">
        <f>IF(V27=0,"",P27/V27)</f>
        <v/>
      </c>
      <c r="R27" s="3">
        <f>SUM(R7:R26)</f>
        <v/>
      </c>
      <c r="S27" s="11">
        <f>IF(V27=0,"",R27/V27)</f>
        <v/>
      </c>
      <c r="T27" s="3">
        <f>SUM(T7:T26)</f>
        <v/>
      </c>
      <c r="U27" s="11">
        <f>IF(V27=0,"",T27/V27)</f>
        <v/>
      </c>
      <c r="V27" s="3">
        <f>SUM(V7:V26)</f>
        <v/>
      </c>
    </row>
    <row r="29">
      <c r="A29" s="12" t="inlineStr">
        <is>
          <t>Controles:</t>
        </is>
      </c>
    </row>
    <row r="30">
      <c r="A30" s="13" t="inlineStr">
        <is>
          <t>Suma de % casas (fila total) debe ser 100%:</t>
        </is>
      </c>
      <c r="D30" s="14">
        <f>N(G27)+N(I27)+N(K27)+N(M27)+N(O27)+N(Q27)+N(S27)+N(U27)</f>
        <v/>
      </c>
    </row>
    <row r="31">
      <c r="A31" s="13" t="inlineStr">
        <is>
          <t>Filas con intervenidos &gt; total de sectores (error):</t>
        </is>
      </c>
      <c r="D31" s="12">
        <f>SUMPRODUCT((C7:C26&gt;B7:B26)*1)</f>
        <v/>
      </c>
    </row>
    <row r="32">
      <c r="A32" s="2" t="inlineStr">
        <is>
          <t>Fórmulas: % efectividad = intervenidos / total sectores; pendientes = total − intervenidos; % casas = N categoría / total casas; total casas = suma de las 8 categorías.</t>
        </is>
      </c>
    </row>
  </sheetData>
  <mergeCells count="15">
    <mergeCell ref="E5:E6"/>
    <mergeCell ref="A4:A6"/>
    <mergeCell ref="B4:E4"/>
    <mergeCell ref="F4:V4"/>
    <mergeCell ref="J5:K5"/>
    <mergeCell ref="F5:G5"/>
    <mergeCell ref="T5:U5"/>
    <mergeCell ref="C5:C6"/>
    <mergeCell ref="H5:I5"/>
    <mergeCell ref="L5:M5"/>
    <mergeCell ref="P5:Q5"/>
    <mergeCell ref="N5:O5"/>
    <mergeCell ref="R5:S5"/>
    <mergeCell ref="B5:B6"/>
    <mergeCell ref="D5:D6"/>
  </mergeCells>
  <conditionalFormatting sqref="C7:C26">
    <cfRule type="expression" priority="1" dxfId="0">
      <formula>AND(ISNUMBER(B7),C7&gt;B7)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30" customWidth="1" min="4" max="4"/>
    <col width="12" customWidth="1" min="5" max="5"/>
  </cols>
  <sheetData>
    <row r="1">
      <c r="A1" s="15" t="inlineStr">
        <is>
          <t>Indicador</t>
        </is>
      </c>
      <c r="B1" s="15" t="inlineStr">
        <is>
          <t>Valor en la foto</t>
        </is>
      </c>
      <c r="C1" s="15" t="inlineStr">
        <is>
          <t>Cálculo correcto</t>
        </is>
      </c>
      <c r="D1" s="15" t="inlineStr">
        <is>
          <t>Fórmula</t>
        </is>
      </c>
      <c r="E1" s="15" t="inlineStr">
        <is>
          <t>¿Correcto?</t>
        </is>
      </c>
    </row>
    <row r="2">
      <c r="A2" s="16" t="inlineStr">
        <is>
          <t>% Efectividad sectores</t>
        </is>
      </c>
      <c r="B2" s="17" t="n">
        <v>0.7</v>
      </c>
      <c r="C2" s="18">
        <f>'Viviendas visitadas'!D7</f>
        <v/>
      </c>
      <c r="D2" s="16" t="inlineStr">
        <is>
          <t>Intervenidos / Total = 5/15</t>
        </is>
      </c>
      <c r="E2" s="16">
        <f>IF(ROUND(B2,2)=ROUND(C2,2),"Sí","NO")</f>
        <v/>
      </c>
    </row>
    <row r="3">
      <c r="A3" s="16" t="inlineStr">
        <is>
          <t>N° sectores pendientes</t>
        </is>
      </c>
      <c r="B3" s="19" t="n">
        <v>10</v>
      </c>
      <c r="C3" s="16">
        <f>'Viviendas visitadas'!E7</f>
        <v/>
      </c>
      <c r="D3" s="16" t="inlineStr">
        <is>
          <t>Total − Intervenidos = 15−5</t>
        </is>
      </c>
      <c r="E3" s="16">
        <f>IF(B3=C3,"Sí","NO")</f>
        <v/>
      </c>
    </row>
    <row r="4">
      <c r="A4" s="16" t="inlineStr">
        <is>
          <t>Total de casas</t>
        </is>
      </c>
      <c r="B4" s="19" t="n">
        <v>538</v>
      </c>
      <c r="C4" s="16">
        <f>'Viviendas visitadas'!V7</f>
        <v/>
      </c>
      <c r="D4" s="16" t="inlineStr">
        <is>
          <t>Suma de las 8 categorías</t>
        </is>
      </c>
      <c r="E4" s="16">
        <f>IF(B4=C4,"Sí","NO")</f>
        <v/>
      </c>
    </row>
    <row r="5">
      <c r="A5" s="16" t="inlineStr">
        <is>
          <t>% Abiertas con niños esquema completo</t>
        </is>
      </c>
      <c r="B5" s="17" t="n">
        <v>0.19</v>
      </c>
      <c r="C5" s="18">
        <f>'Viviendas visitadas'!G7</f>
        <v/>
      </c>
      <c r="D5" s="16" t="inlineStr">
        <is>
          <t>100 / 538</t>
        </is>
      </c>
      <c r="E5" s="16">
        <f>IF(ROUND(B5,2)=ROUND(C5,2),"Sí","NO")</f>
        <v/>
      </c>
    </row>
    <row r="6">
      <c r="A6" s="16" t="inlineStr">
        <is>
          <t>% Efectiva (se vacuna)</t>
        </is>
      </c>
      <c r="B6" s="17" t="n">
        <v>0.07000000000000001</v>
      </c>
      <c r="C6" s="18">
        <f>'Viviendas visitadas'!I7</f>
        <v/>
      </c>
      <c r="D6" s="16" t="inlineStr">
        <is>
          <t>40 / 538</t>
        </is>
      </c>
      <c r="E6" s="16">
        <f>IF(ROUND(B6,2)=ROUND(C6,2),"Sí","NO")</f>
        <v/>
      </c>
    </row>
    <row r="7">
      <c r="A7" s="16" t="inlineStr">
        <is>
          <t>% Abiertas con niños (salieron)</t>
        </is>
      </c>
      <c r="B7" s="17" t="n">
        <v>0.13</v>
      </c>
      <c r="C7" s="18">
        <f>'Viviendas visitadas'!K7</f>
        <v/>
      </c>
      <c r="D7" s="16" t="inlineStr">
        <is>
          <t>70 / 538</t>
        </is>
      </c>
      <c r="E7" s="16">
        <f>IF(ROUND(B7,2)=ROUND(C7,2),"Sí","NO")</f>
        <v/>
      </c>
    </row>
    <row r="8">
      <c r="A8" s="16" t="inlineStr">
        <is>
          <t>% Abiertas sin niños</t>
        </is>
      </c>
      <c r="B8" s="17" t="n">
        <v>0.47</v>
      </c>
      <c r="C8" s="18">
        <f>'Viviendas visitadas'!M7</f>
        <v/>
      </c>
      <c r="D8" s="16" t="inlineStr">
        <is>
          <t>250 / 538</t>
        </is>
      </c>
      <c r="E8" s="16">
        <f>IF(ROUND(B8,2)=ROUND(C8,2),"Sí","NO")</f>
        <v/>
      </c>
    </row>
    <row r="9">
      <c r="A9" s="16" t="inlineStr">
        <is>
          <t>% Cerrada con niños</t>
        </is>
      </c>
      <c r="B9" s="17" t="n">
        <v>0.06</v>
      </c>
      <c r="C9" s="18">
        <f>'Viviendas visitadas'!O7</f>
        <v/>
      </c>
      <c r="D9" s="16" t="inlineStr">
        <is>
          <t>30 / 538</t>
        </is>
      </c>
      <c r="E9" s="16">
        <f>IF(ROUND(B9,2)=ROUND(C9,2),"Sí","NO")</f>
        <v/>
      </c>
    </row>
    <row r="10">
      <c r="A10" s="16" t="inlineStr">
        <is>
          <t>% Cerrada sin niños</t>
        </is>
      </c>
      <c r="B10" s="17" t="n">
        <v>0.03</v>
      </c>
      <c r="C10" s="18">
        <f>'Viviendas visitadas'!Q7</f>
        <v/>
      </c>
      <c r="D10" s="16" t="inlineStr">
        <is>
          <t>20 / 538</t>
        </is>
      </c>
      <c r="E10" s="16">
        <f>IF(ROUND(B10,2)=ROUND(C10,2),"Sí","NO")</f>
        <v/>
      </c>
    </row>
    <row r="11">
      <c r="A11" s="16" t="inlineStr">
        <is>
          <t>% Rechazadas</t>
        </is>
      </c>
      <c r="B11" s="17" t="n">
        <v>0.02</v>
      </c>
      <c r="C11" s="18">
        <f>'Viviendas visitadas'!S7</f>
        <v/>
      </c>
      <c r="D11" s="16" t="inlineStr">
        <is>
          <t>8 / 538</t>
        </is>
      </c>
      <c r="E11" s="16">
        <f>IF(ROUND(B11,2)=ROUND(C11,2),"Sí","NO")</f>
        <v/>
      </c>
    </row>
    <row r="12">
      <c r="A12" s="16" t="inlineStr">
        <is>
          <t>% Abandonadas</t>
        </is>
      </c>
      <c r="B12" s="17" t="n">
        <v>0.03</v>
      </c>
      <c r="C12" s="18">
        <f>'Viviendas visitadas'!U7</f>
        <v/>
      </c>
      <c r="D12" s="16" t="inlineStr">
        <is>
          <t>20 / 538</t>
        </is>
      </c>
      <c r="E12" s="16">
        <f>IF(ROUND(B12,2)=ROUND(C12,2),"Sí","NO")</f>
        <v/>
      </c>
    </row>
    <row r="13">
      <c r="A13" s="16" t="inlineStr">
        <is>
          <t>Suma de %</t>
        </is>
      </c>
      <c r="B13" s="20">
        <f>SUM(B5:B12)</f>
        <v/>
      </c>
      <c r="C13" s="18">
        <f>SUM(C5:C12)</f>
        <v/>
      </c>
      <c r="D13" s="16" t="inlineStr"/>
      <c r="E13" s="16" t="inlineStr"/>
    </row>
    <row r="15">
      <c r="A15" s="2" t="inlineStr">
        <is>
          <t>Valores de la columna B transcritos de la foto enviada por el usuario. El cálculo correcto viene de la fila de ejemplo (fila 7) de la hoja 'Viviendas visitadas'.</t>
        </is>
      </c>
    </row>
  </sheetData>
  <conditionalFormatting sqref="E2:E12">
    <cfRule type="expression" priority="1" dxfId="1">
      <formula>E2="NO"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2026-10-02T04:32:28Z</dcterms:created>
  <dcterms:modified xsi:type="dcterms:W3CDTF">2026-10-02T04:32:28Z</dcterms:modified>
</cp:coreProperties>
</file>